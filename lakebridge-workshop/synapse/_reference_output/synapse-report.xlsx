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pecial Patterns" sheetId="5" r:id="rId5"/>
    <sheet name="Functions" sheetId="6" r:id="rId6"/>
    <sheet name="Functions by Script" sheetId="7" r:id="rId7"/>
    <sheet name="Scripts Functions Xref" sheetId="8" r:id="rId8"/>
    <sheet name="Referenced Objects" sheetId="9" r:id="rId9"/>
    <sheet name="Program-Object Xref" sheetId="10" r:id="rId10"/>
    <sheet name="RAW_PROGRAM_OBJECT_XREF" sheetId="11" r:id="rId11"/>
    <sheet name="RAW_PROGRAM_PARAM_LIST" sheetId="12" r:id="rId12"/>
    <sheet name="SQL Data Types" sheetId="13" r:id="rId13"/>
  </sheets>
  <definedNames>
    <definedName name="_xlnm._FilterDatabase" localSheetId="5" hidden="1">Functions!$A$1:$B$14</definedName>
    <definedName name="_xlnm._FilterDatabase" localSheetId="9" hidden="1">'Program-Object Xref'!$A$1:$J$8</definedName>
    <definedName name="_xlnm._FilterDatabase" localSheetId="10" hidden="1">RAW_PROGRAM_OBJECT_XREF!$A$1:$D$16</definedName>
    <definedName name="_xlnm._FilterDatabase" localSheetId="11" hidden="1">RAW_PROGRAM_PARAM_LIST!$A$1:$C$15</definedName>
    <definedName name="_xlnm._FilterDatabase" localSheetId="8" hidden="1">'Referenced Objects'!$A$1:$G$10</definedName>
    <definedName name="_xlnm._FilterDatabase" localSheetId="12" hidden="1">'SQL Data Types'!$A$1:$B$17</definedName>
    <definedName name="_xlnm._FilterDatabase" localSheetId="1" hidden="1">'SQL Programs'!$A$1:$L$8</definedName>
    <definedName name="_xlnm._FilterDatabase" localSheetId="2" hidden="1">'SQL Script Categories'!$A$1:$B$17</definedName>
    <definedName name="_xlnm._FilterDatabase" localSheetId="4" hidden="1">'SQL Special Patterns'!$A$1:$E$1</definedName>
    <definedName name="_xlnm._FilterDatabase" localSheetId="3" hidden="1">'UNKNOWN SQL Category'!$A$1:$B$10</definedName>
  </definedNames>
  <calcPr calcId="124519" fullCalcOnLoad="1"/>
</workbook>
</file>

<file path=xl/sharedStrings.xml><?xml version="1.0" encoding="utf-8"?>
<sst xmlns="http://schemas.openxmlformats.org/spreadsheetml/2006/main" count="395" uniqueCount="210">
  <si>
    <t>Run date/time: 2026-04-21 11:10:10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</si>
  <si>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</si>
  <si>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</si>
  <si>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</si>
  <si>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</si>
  <si>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</si>
  <si>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</si>
  <si>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</si>
  <si>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</si>
  <si>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</si>
  <si>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</si>
  <si>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</si>
  <si>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</si>
  <si>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</si>
  <si>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</si>
  <si>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</si>
  <si>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</si>
  <si>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</si>
  <si>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</si>
  <si>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</si>
  <si>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</si>
  <si>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5.6.7 Build 20260227</t>
  </si>
  <si>
    <t>Command Line Options:</t>
  </si>
  <si>
    <t>Option</t>
  </si>
  <si>
    <t>Value</t>
  </si>
  <si>
    <t>-E</t>
  </si>
  <si>
    <t>-F</t>
  </si>
  <si>
    <t>-d</t>
  </si>
  <si>
    <t>/Users/hiroyuki.nakazato/0/repos/databricks-japan-bootcamp-lbw/lakebridge-workshop/synapse/input</t>
  </si>
  <si>
    <t>-e</t>
  </si>
  <si>
    <t>-r</t>
  </si>
  <si>
    <t>/Users/hiroyuki.nakazato/0/repos/databricks-japan-bootcamp-lbw/lakebridge-workshop/synapse/out/synapse-report.xlsx</t>
  </si>
  <si>
    <t>-t</t>
  </si>
  <si>
    <t>SQL</t>
  </si>
  <si>
    <t>Analyzer run duration:</t>
  </si>
  <si>
    <t>0h, 0m, 0s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</si>
  <si>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</si>
  <si>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</si>
  <si>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</si>
  <si>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</si>
  <si>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</si>
  <si>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</si>
  <si>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</si>
  <si>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</si>
  <si>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</si>
  <si>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</si>
  <si>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</si>
  <si>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</si>
  <si>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01_customers.sql</t>
  </si>
  <si>
    <t>/Users/hiroyuki.nakazato/0/repos/databricks-japan-bootcamp-lbw/lakebridge-workshop/synapse/input/ddl/01_customers.sql</t>
  </si>
  <si>
    <t>YES</t>
  </si>
  <si>
    <t>LOW</t>
  </si>
  <si>
    <t>CREATE_STATISTICS,TABLE_DDL,UNKNOWN</t>
  </si>
  <si>
    <t>Total Statement count: 4, Conventional Statement count: 1, Simple Statement count: 3, Pivot functions: 0, XML functions: 0, Loops: 0, Medium category breaks: 0, High category breaks: 0</t>
  </si>
  <si>
    <t>FBE062BC52519AE4C135EFC6B33276D9</t>
  </si>
  <si>
    <t>ba3514832f7a14835eda5a8e923d9d44c0f708488004a730d183c03e4ce8538d1774c30a7915130180bab3f2fc8068c13eb55511ff16dfc8d2eb3d1d0eb4c4bc44afc9a75712d020b8ef58474c50d2d8</t>
  </si>
  <si>
    <t>02_products.sql</t>
  </si>
  <si>
    <t>/Users/hiroyuki.nakazato/0/repos/databricks-japan-bootcamp-lbw/lakebridge-workshop/synapse/input/ddl/02_products.sql</t>
  </si>
  <si>
    <t>TABLE_DDL,UNKNOWN</t>
  </si>
  <si>
    <t>Total Statement count: 2, Conventional Statement count: 1, Simple Statement count: 1, Pivot functions: 0, XML functions: 0, Loops: 0, Medium category breaks: 0, High category breaks: 0</t>
  </si>
  <si>
    <t>2A72B29E666F0DC160FA1069C93FB531</t>
  </si>
  <si>
    <t>3da8fc2d91faabe9f365db6c21fed21c92cd2031cf232534b9a7c449c6277c781774c30a7915130180bab3f2fc8068c13eb55511ff16dfc80421f3bb446efcd0a8c57b197655ab11eb91626df0d17f9c</t>
  </si>
  <si>
    <t>03_stores.sql</t>
  </si>
  <si>
    <t>/Users/hiroyuki.nakazato/0/repos/databricks-japan-bootcamp-lbw/lakebridge-workshop/synapse/input/ddl/03_stores.sql</t>
  </si>
  <si>
    <t>1C767DFEA6A19B80ED5F284244114323</t>
  </si>
  <si>
    <t>bf20f98b0bae6a243cf96759d6a3e002b000543223b5a5c7678a7a6e8956851e1774c30a7915130180bab3f2fc8068c13eb55511ff16dfc8c13f4b4aea20aa447426da0cc0557239</t>
  </si>
  <si>
    <t>04_orders.sql</t>
  </si>
  <si>
    <t>/Users/hiroyuki.nakazato/0/repos/databricks-japan-bootcamp-lbw/lakebridge-workshop/synapse/input/ddl/04_orders.sql</t>
  </si>
  <si>
    <t>FOR,TABLE_DDL,UNKNOWN</t>
  </si>
  <si>
    <t>Total Statement count: 3, Conventional Statement count: 2, Simple Statement count: 1, Pivot functions: 0, XML functions: 0, Loops: 0, Medium category breaks: 0, High category breaks: 0</t>
  </si>
  <si>
    <t>68EF9E80EECE5F79CB1C29370631D365</t>
  </si>
  <si>
    <t>61ebcb299f8a83e237fda2143e095069ece3d1b5ef1abe8c9d743c800b6f2e721774c30a7915130180bab3f2fc8068c13eb55511ff16dfc8245e6ff5992854f050ab748dfc43a2cd</t>
  </si>
  <si>
    <t>05_order_items.sql</t>
  </si>
  <si>
    <t>/Users/hiroyuki.nakazato/0/repos/databricks-japan-bootcamp-lbw/lakebridge-workshop/synapse/input/ddl/05_order_items.sql</t>
  </si>
  <si>
    <t>95F2A23FC50AA2DD50030CDC1ED86692</t>
  </si>
  <si>
    <t>57f67795894ab22e4813a14222c3dd9a5faa0dfdc65d0ef011c6708edb05dbf61774c30a7915130180bab3f2fc8068c13eb55511ff16dfc8d72cb0b93f87b3f9758e959d41c1e92b624898af368f6094</t>
  </si>
  <si>
    <t>mssql_example1_multi_statement_transformation.sql</t>
  </si>
  <si>
    <t>/Users/hiroyuki.nakazato/0/repos/databricks-japan-bootcamp-lbw/lakebridge-workshop/synapse/input/stored_procs/mssql_example1_multi_statement_transformation.sql</t>
  </si>
  <si>
    <t>DELETE,IF_START,INSERT_INTO,READ_DML,TABLE_DDL,TABLE_DROP,UPDATE_FROM</t>
  </si>
  <si>
    <t>Total Statement count: 9, Conventional Statement count: 6, Simple Statement count: 3, Pivot functions: 0, XML functions: 0, Loops: 0, Medium category breaks: 0, High category breaks: 0</t>
  </si>
  <si>
    <t>6189FC6ED88EC3C21129DE0D7F23DEEC</t>
  </si>
  <si>
    <t>b0342049ebdb481c95a82cd050fac863799158c8ee0a0ba87ba417d505e295281774c30a7915130180bab3f2fc8068c13eb55511ff16dfc80ac24522023ba2b4826c82f0391c4610097a90db6e29fca7cecea9738859a4fc55b40fe08f29913d5dfec4814a5ad55ad7498eb35771e652</t>
  </si>
  <si>
    <t>mssql_example2_stored_procedure.sql</t>
  </si>
  <si>
    <t>/Users/hiroyuki.nakazato/0/repos/databricks-japan-bootcamp-lbw/lakebridge-workshop/synapse/input/stored_procs/mssql_example2_stored_procedure.sql</t>
  </si>
  <si>
    <t>MEDIUM</t>
  </si>
  <si>
    <t>CREATE_PROCEDURE,DYNAMIC_SQL,IF_START,INSERT_INTO,RETURN,SELECT_VAR_ASSIGNMENT,TABLE_DDL,UNKNOWN,UPDATE_FROM,VAR_ASSIGNMENT,VAR_DECLARE</t>
  </si>
  <si>
    <t>Total Statement count: 33, Conventional Statement count: 30, Simple Statement count: 3, Pivot functions: 0, XML functions: 0, Loops: 0, Medium category breaks: 1, High category breaks: 0</t>
  </si>
  <si>
    <t>C1EDD57AA6E213A202E9FB4EFE8BC521</t>
  </si>
  <si>
    <t>67a8ee441635fcd8ea722b38cdd616970c5807fcdc702d8e1e8072e2d236ae3f21e0d2a97a0c530380bab3f2fc8068c1a7bf90f3d86a967f0ac24522023ba2b4273ebe138bc5e0b8ca3fd7dcec06b346a8499a3d4417d8a5799d02994b5f7bd2</t>
  </si>
  <si>
    <t>ETL</t>
  </si>
  <si>
    <t>SQL Script Categories</t>
  </si>
  <si>
    <t># of Occurrences</t>
  </si>
  <si>
    <t>CREATE_PROCEDURE</t>
  </si>
  <si>
    <t>CREATE_STATISTICS</t>
  </si>
  <si>
    <t>DELETE</t>
  </si>
  <si>
    <t>DYNAMIC_SQL</t>
  </si>
  <si>
    <t>FOR</t>
  </si>
  <si>
    <t>IF_START</t>
  </si>
  <si>
    <t>INSERT_INTO</t>
  </si>
  <si>
    <t>READ_DML</t>
  </si>
  <si>
    <t>RETURN</t>
  </si>
  <si>
    <t>SELECT_VAR_ASSIGNMENT</t>
  </si>
  <si>
    <t>TABLE_DDL</t>
  </si>
  <si>
    <t>TABLE_DROP</t>
  </si>
  <si>
    <t>UNKNOWN</t>
  </si>
  <si>
    <t>UPDATE_FROM</t>
  </si>
  <si>
    <t>VAR_ASSIGNMENT</t>
  </si>
  <si>
    <t>VAR_DECLARE</t>
  </si>
  <si>
    <t>SQL unknown category scripts</t>
  </si>
  <si>
    <t>BEGIN TRY         BEGIN TRAN FORECAST_OUTLIER_CHECK;</t>
  </si>
  <si>
    <t>COMMIT TRAN FORECAST_OUTLIER_CHECK;</t>
  </si>
  <si>
    <t>END CATCH;</t>
  </si>
  <si>
    <t>END TRY     BEGIN CATCH         ;</t>
  </si>
  <si>
    <t>END;</t>
  </si>
  <si>
    <t>GO</t>
  </si>
  <si>
    <t>GO;</t>
  </si>
  <si>
    <t>PRINT('Error: ' + @ErrorMsg);</t>
  </si>
  <si>
    <t>THROW;</t>
  </si>
  <si>
    <t>Job Complexity Categorization</t>
  </si>
  <si>
    <t>Procedure or Function</t>
  </si>
  <si>
    <t>HIGH</t>
  </si>
  <si>
    <t>VERY_HIGH</t>
  </si>
  <si>
    <t>Name</t>
  </si>
  <si>
    <t>Pattern Type</t>
  </si>
  <si>
    <t>Source Node</t>
  </si>
  <si>
    <t>Target Node</t>
  </si>
  <si>
    <t>Additional Info</t>
  </si>
  <si>
    <t>Function</t>
  </si>
  <si>
    <t># of Calls</t>
  </si>
  <si>
    <t>NVARCHAR</t>
  </si>
  <si>
    <t>WITH</t>
  </si>
  <si>
    <t>CONVERT</t>
  </si>
  <si>
    <t>HASH</t>
  </si>
  <si>
    <t>SYSUTCDATETIME</t>
  </si>
  <si>
    <t>DATETIME2</t>
  </si>
  <si>
    <t>DATEADD</t>
  </si>
  <si>
    <t>GETDATE</t>
  </si>
  <si>
    <t>PERCENTILE_CONT</t>
  </si>
  <si>
    <t>PRINT</t>
  </si>
  <si>
    <t>ERROR_MESSAGE</t>
  </si>
  <si>
    <t>OBJECT_NAME</t>
  </si>
  <si>
    <t>GROUP</t>
  </si>
  <si>
    <t>Script</t>
  </si>
  <si>
    <t>OBJECT</t>
  </si>
  <si>
    <t>CREATE</t>
  </si>
  <si>
    <t>READ</t>
  </si>
  <si>
    <t>WRITE</t>
  </si>
  <si>
    <t>DROP</t>
  </si>
  <si>
    <t>TRUNCATE</t>
  </si>
  <si>
    <t>TABLE_VARIABLE</t>
  </si>
  <si>
    <t>#Discounts</t>
  </si>
  <si>
    <t>#TEMP_OUTLIER_INFO</t>
  </si>
  <si>
    <t>Products</t>
  </si>
  <si>
    <t>dbo.customers</t>
  </si>
  <si>
    <t>dbo.order_items</t>
  </si>
  <si>
    <t>dbo.orders</t>
  </si>
  <si>
    <t>dbo.products</t>
  </si>
  <si>
    <t>dbo.stores</t>
  </si>
  <si>
    <t>f</t>
  </si>
  <si>
    <t>CREATE: 1</t>
  </si>
  <si>
    <t>CREATE: 1, READ: 1, WRITE: 1</t>
  </si>
  <si>
    <t>CREATE: 1, READ: 3, WRITE: 1</t>
  </si>
  <si>
    <t>CREATE: 1, READ: 2, WRITE: 1</t>
  </si>
  <si>
    <t>WRITE: 2</t>
  </si>
  <si>
    <t>Program</t>
  </si>
  <si>
    <t>Object</t>
  </si>
  <si>
    <t>Operation</t>
  </si>
  <si>
    <t>Count</t>
  </si>
  <si>
    <t>Parameter Name</t>
  </si>
  <si>
    <t>@CurrentDate</t>
  </si>
  <si>
    <t>@CurrentDateOut</t>
  </si>
  <si>
    <t>@CurrentDateParam</t>
  </si>
  <si>
    <t>@ErrorMessage</t>
  </si>
  <si>
    <t>@ErrorMsg</t>
  </si>
  <si>
    <t>@ErrorProcName</t>
  </si>
  <si>
    <t>@Multiplier</t>
  </si>
  <si>
    <t>@OutlierMultiplier</t>
  </si>
  <si>
    <t>@PROCID</t>
  </si>
  <si>
    <t>@ProcName</t>
  </si>
  <si>
    <t>@Result</t>
  </si>
  <si>
    <t>@SQL</t>
  </si>
  <si>
    <t>@SchemaName</t>
  </si>
  <si>
    <t>@TRANCOUNT</t>
  </si>
  <si>
    <t>DDL DataType</t>
  </si>
  <si>
    <t>@OUTLIERMULTIPLIER  DECIMAL</t>
  </si>
  <si>
    <t>AS</t>
  </si>
  <si>
    <t>BIGINT</t>
  </si>
  <si>
    <t>BIT</t>
  </si>
  <si>
    <t>CHAR</t>
  </si>
  <si>
    <t>COLUMNSTORE</t>
  </si>
  <si>
    <t>DATE</t>
  </si>
  <si>
    <t>DATETIME DEFAULT GETDATE</t>
  </si>
  <si>
    <t>DECIMAL</t>
  </si>
  <si>
    <t>FLOAT</t>
  </si>
  <si>
    <t>INT</t>
  </si>
  <si>
    <t>MONEY</t>
  </si>
  <si>
    <t>VARCHAR</t>
  </si>
  <si>
    <t>Worksheet Index</t>
  </si>
  <si>
    <t>Summary</t>
  </si>
  <si>
    <t>SQL Programs</t>
  </si>
  <si>
    <t>UNKNOWN SQL Category</t>
  </si>
  <si>
    <t>SQL Special Patterns</t>
  </si>
  <si>
    <t>Functions</t>
  </si>
  <si>
    <t>Functions by Script</t>
  </si>
  <si>
    <t>Scripts Functions Xref</t>
  </si>
  <si>
    <t>Referenced Objects</t>
  </si>
  <si>
    <t>Program-Object Xref</t>
  </si>
  <si>
    <t>RAW_PROGRAM_OBJECT_XREF</t>
  </si>
  <si>
    <t>RAW_PROGRAM_PARAM_LIST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</si>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</sst>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197</v>
      </c>
      <c r="E1" s="2" t="s">
        <v>21</v>
      </c>
      <c r="F1" s="2"/>
    </row>
    <row r="2" spans="1:6">
      <c r="D2" s="3" t="s">
        <v>198</v>
      </c>
      <c r="E2" s="2" t="s">
        <v>22</v>
      </c>
      <c r="F2" s="2"/>
    </row>
    <row r="3" spans="1:6">
      <c r="A3" s="4" t="s">
        <v>1</v>
      </c>
      <c r="B3" s="4"/>
      <c r="D3" s="3" t="s">
        <v>199</v>
      </c>
      <c r="E3" s="2" t="s">
        <v>23</v>
      </c>
      <c r="F3" s="2" t="s">
        <v>24</v>
      </c>
    </row>
    <row r="4" spans="1:6">
      <c r="A4" s="1" t="s">
        <v>2</v>
      </c>
      <c r="B4" s="5">
        <v>7</v>
      </c>
      <c r="D4" s="3" t="s">
        <v>90</v>
      </c>
      <c r="E4" s="2" t="s">
        <v>25</v>
      </c>
      <c r="F4" s="6"/>
    </row>
    <row r="5" spans="1:6">
      <c r="A5" s="1" t="s">
        <v>3</v>
      </c>
      <c r="B5" s="5">
        <v>7</v>
      </c>
      <c r="D5" s="3" t="s">
        <v>200</v>
      </c>
      <c r="E5" s="2" t="s">
        <v>26</v>
      </c>
      <c r="F5" s="6">
        <v>10000000000000</v>
      </c>
    </row>
    <row r="6" spans="1:6">
      <c r="A6" s="1" t="s">
        <v>4</v>
      </c>
      <c r="B6" s="5">
        <v>8</v>
      </c>
      <c r="D6" s="3" t="s">
        <v>201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202</v>
      </c>
      <c r="E7" s="2" t="s">
        <v>29</v>
      </c>
      <c r="F7" s="6">
        <v>1</v>
      </c>
    </row>
    <row r="8" spans="1:6">
      <c r="A8" s="1" t="s">
        <v>6</v>
      </c>
      <c r="B8" s="5">
        <v>8</v>
      </c>
      <c r="D8" s="3" t="s">
        <v>203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204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205</v>
      </c>
      <c r="E10" s="2" t="s">
        <v>34</v>
      </c>
    </row>
    <row r="11" spans="1:6">
      <c r="A11" s="1" t="s">
        <v>9</v>
      </c>
      <c r="B11" s="5">
        <v>0</v>
      </c>
      <c r="D11" s="3" t="s">
        <v>206</v>
      </c>
      <c r="E11" s="6" t="s">
        <v>35</v>
      </c>
    </row>
    <row r="12" spans="1:6">
      <c r="A12" s="1" t="s">
        <v>10</v>
      </c>
      <c r="B12" s="5">
        <v>0</v>
      </c>
      <c r="D12" s="3" t="s">
        <v>207</v>
      </c>
    </row>
    <row r="13" spans="1:6">
      <c r="A13" s="1" t="s">
        <v>11</v>
      </c>
      <c r="B13" s="5">
        <v>1</v>
      </c>
      <c r="D13" s="3" t="s">
        <v>208</v>
      </c>
    </row>
    <row r="14" spans="1:6">
      <c r="A14" s="1" t="s">
        <v>12</v>
      </c>
      <c r="B14" s="5">
        <v>0</v>
      </c>
      <c r="D14" s="3" t="s">
        <v>209</v>
      </c>
    </row>
    <row r="15" spans="1:6">
      <c r="A15" s="1" t="s">
        <v>13</v>
      </c>
      <c r="B15" s="5">
        <v>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292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89</v>
      </c>
    </row>
    <row r="25" spans="1:3">
      <c r="A25" s="4" t="s">
        <v>118</v>
      </c>
      <c r="B25" s="4"/>
      <c r="C25" s="4" t="s">
        <v>119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84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120</v>
      </c>
      <c r="B28" s="5">
        <f>COUNTIFS('SQL Programs'!E:E,"HIGH",'SQL Programs'!C:C,"YES",'SQL Programs'!L:L,"SQL")</f>
        <v>0</v>
      </c>
      <c r="C28" s="5">
        <f>SUMIFS('SQL Programs'!G:G,'SQL Programs'!E:E,"HIGH",'SQL Programs'!C:C,"YES",'SQL Programs'!L:L,"ETL")</f>
        <v>0</v>
      </c>
    </row>
    <row r="29" spans="1:3">
      <c r="A29" s="1" t="s">
        <v>121</v>
      </c>
      <c r="B29" s="5">
        <f>COUNTIFS('SQL Programs'!E:E,"VERY_HIGH",'SQL Programs'!C:C,"YES",'SQL Programs'!L:L,"SQL")</f>
        <v>0</v>
      </c>
      <c r="C29" s="5">
        <f>SUMIFS('SQL Programs'!G:G,'SQL Programs'!E:E,"VERY_HIGH",'SQL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pecial Patterns'!A1" display="SQL Special Patterns"/>
    <hyperlink ref="D7" location="'Functions'!A1" display="Functions"/>
    <hyperlink ref="D8" location="'Functions by Script'!A1" display="Functions by Script"/>
    <hyperlink ref="D9" location="'Scripts Functions Xref'!A1" display="Scripts Functions Xref"/>
    <hyperlink ref="D10" location="'Referenced Objects'!A1" display="Referenced Objects"/>
    <hyperlink ref="D11" location="'Program-Object Xref'!A1" display="Program-Object Xref"/>
    <hyperlink ref="D12" location="'RAW_PROGRAM_OBJECT_XREF'!A1" display="RAW_PROGRAM_OBJECT_XREF"/>
    <hyperlink ref="D13" location="'RAW_PROGRAM_PARAM_LIST'!A1" display="RAW_PROGRAM_PARAM_LIST"/>
    <hyperlink ref="D14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25</v>
      </c>
      <c r="E2" s="6" t="s">
        <v>51</v>
      </c>
      <c r="F2" s="6">
        <v>4</v>
      </c>
      <c r="G2" s="6">
        <v>0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33</v>
      </c>
    </row>
    <row r="3" spans="1:12">
      <c r="A3" s="6" t="s">
        <v>56</v>
      </c>
      <c r="B3" s="6" t="s">
        <v>57</v>
      </c>
      <c r="C3" s="6" t="s">
        <v>50</v>
      </c>
      <c r="D3" s="6">
        <v>19</v>
      </c>
      <c r="E3" s="6" t="s">
        <v>51</v>
      </c>
      <c r="F3" s="6">
        <v>2</v>
      </c>
      <c r="G3" s="6">
        <v>0</v>
      </c>
      <c r="H3" s="6" t="s">
        <v>58</v>
      </c>
      <c r="I3" s="6" t="s">
        <v>59</v>
      </c>
      <c r="J3" s="6" t="s">
        <v>60</v>
      </c>
      <c r="K3" s="6" t="s">
        <v>61</v>
      </c>
      <c r="L3" s="6" t="s">
        <v>33</v>
      </c>
    </row>
    <row r="4" spans="1:12">
      <c r="A4" s="6" t="s">
        <v>62</v>
      </c>
      <c r="B4" s="6" t="s">
        <v>63</v>
      </c>
      <c r="C4" s="6" t="s">
        <v>50</v>
      </c>
      <c r="D4" s="6">
        <v>17</v>
      </c>
      <c r="E4" s="6" t="s">
        <v>51</v>
      </c>
      <c r="F4" s="6">
        <v>2</v>
      </c>
      <c r="G4" s="6">
        <v>0</v>
      </c>
      <c r="H4" s="6" t="s">
        <v>58</v>
      </c>
      <c r="I4" s="6" t="s">
        <v>59</v>
      </c>
      <c r="J4" s="6" t="s">
        <v>64</v>
      </c>
      <c r="K4" s="6" t="s">
        <v>65</v>
      </c>
      <c r="L4" s="6" t="s">
        <v>33</v>
      </c>
    </row>
    <row r="5" spans="1:12">
      <c r="A5" s="6" t="s">
        <v>66</v>
      </c>
      <c r="B5" s="6" t="s">
        <v>67</v>
      </c>
      <c r="C5" s="6" t="s">
        <v>50</v>
      </c>
      <c r="D5" s="6">
        <v>29</v>
      </c>
      <c r="E5" s="6" t="s">
        <v>51</v>
      </c>
      <c r="F5" s="6">
        <v>3</v>
      </c>
      <c r="G5" s="6">
        <v>0</v>
      </c>
      <c r="H5" s="6" t="s">
        <v>68</v>
      </c>
      <c r="I5" s="6" t="s">
        <v>69</v>
      </c>
      <c r="J5" s="6" t="s">
        <v>70</v>
      </c>
      <c r="K5" s="6" t="s">
        <v>71</v>
      </c>
      <c r="L5" s="6" t="s">
        <v>33</v>
      </c>
    </row>
    <row r="6" spans="1:12">
      <c r="A6" s="6" t="s">
        <v>72</v>
      </c>
      <c r="B6" s="6" t="s">
        <v>73</v>
      </c>
      <c r="C6" s="6" t="s">
        <v>50</v>
      </c>
      <c r="D6" s="6">
        <v>23</v>
      </c>
      <c r="E6" s="6" t="s">
        <v>51</v>
      </c>
      <c r="F6" s="6">
        <v>4</v>
      </c>
      <c r="G6" s="6">
        <v>0</v>
      </c>
      <c r="H6" s="6" t="s">
        <v>52</v>
      </c>
      <c r="I6" s="6" t="s">
        <v>53</v>
      </c>
      <c r="J6" s="6" t="s">
        <v>74</v>
      </c>
      <c r="K6" s="6" t="s">
        <v>75</v>
      </c>
      <c r="L6" s="6" t="s">
        <v>33</v>
      </c>
    </row>
    <row r="7" spans="1:12">
      <c r="A7" s="6" t="s">
        <v>76</v>
      </c>
      <c r="B7" s="6" t="s">
        <v>77</v>
      </c>
      <c r="C7" s="6" t="s">
        <v>50</v>
      </c>
      <c r="D7" s="6">
        <v>60</v>
      </c>
      <c r="E7" s="6" t="s">
        <v>51</v>
      </c>
      <c r="F7" s="6">
        <v>9</v>
      </c>
      <c r="G7" s="6">
        <v>0</v>
      </c>
      <c r="H7" s="6" t="s">
        <v>78</v>
      </c>
      <c r="I7" s="6" t="s">
        <v>79</v>
      </c>
      <c r="J7" s="6" t="s">
        <v>80</v>
      </c>
      <c r="K7" s="6" t="s">
        <v>81</v>
      </c>
      <c r="L7" s="6" t="s">
        <v>33</v>
      </c>
    </row>
    <row r="8" spans="1:12">
      <c r="A8" s="6" t="s">
        <v>82</v>
      </c>
      <c r="B8" s="6" t="s">
        <v>83</v>
      </c>
      <c r="C8" s="6" t="s">
        <v>50</v>
      </c>
      <c r="D8" s="6">
        <v>119</v>
      </c>
      <c r="E8" s="6" t="s">
        <v>84</v>
      </c>
      <c r="F8" s="6">
        <v>33</v>
      </c>
      <c r="G8" s="6">
        <v>1</v>
      </c>
      <c r="H8" s="6" t="s">
        <v>85</v>
      </c>
      <c r="I8" s="6" t="s">
        <v>86</v>
      </c>
      <c r="J8" s="6" t="s">
        <v>87</v>
      </c>
      <c r="K8" s="6" t="s">
        <v>88</v>
      </c>
      <c r="L8" s="6" t="s">
        <v>89</v>
      </c>
    </row>
  </sheetData>
  <autoFilter ref="A1:L8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90</v>
      </c>
      <c r="B1" s="2" t="s">
        <v>91</v>
      </c>
    </row>
    <row r="2" spans="1:2">
      <c r="A2" s="6" t="s">
        <v>92</v>
      </c>
      <c r="B2" s="6">
        <v>1</v>
      </c>
    </row>
    <row r="3" spans="1:2">
      <c r="A3" s="6" t="s">
        <v>93</v>
      </c>
      <c r="B3" s="6">
        <v>2</v>
      </c>
    </row>
    <row r="4" spans="1:2">
      <c r="A4" s="6" t="s">
        <v>94</v>
      </c>
      <c r="B4" s="6">
        <v>1</v>
      </c>
    </row>
    <row r="5" spans="1:2">
      <c r="A5" s="6" t="s">
        <v>95</v>
      </c>
      <c r="B5" s="6">
        <v>5</v>
      </c>
    </row>
    <row r="6" spans="1:2">
      <c r="A6" s="6" t="s">
        <v>96</v>
      </c>
      <c r="B6" s="6">
        <v>1</v>
      </c>
    </row>
    <row r="7" spans="1:2">
      <c r="A7" s="6" t="s">
        <v>97</v>
      </c>
      <c r="B7" s="6">
        <v>2</v>
      </c>
    </row>
    <row r="8" spans="1:2">
      <c r="A8" s="6" t="s">
        <v>98</v>
      </c>
      <c r="B8" s="6">
        <v>3</v>
      </c>
    </row>
    <row r="9" spans="1:2">
      <c r="A9" s="6" t="s">
        <v>99</v>
      </c>
      <c r="B9" s="6">
        <v>1</v>
      </c>
    </row>
    <row r="10" spans="1:2">
      <c r="A10" s="6" t="s">
        <v>100</v>
      </c>
      <c r="B10" s="6">
        <v>1</v>
      </c>
    </row>
    <row r="11" spans="1:2">
      <c r="A11" s="6" t="s">
        <v>101</v>
      </c>
      <c r="B11" s="6">
        <v>1</v>
      </c>
    </row>
    <row r="12" spans="1:2">
      <c r="A12" s="6" t="s">
        <v>102</v>
      </c>
      <c r="B12" s="6">
        <v>8</v>
      </c>
    </row>
    <row r="13" spans="1:2">
      <c r="A13" s="6" t="s">
        <v>103</v>
      </c>
      <c r="B13" s="6">
        <v>1</v>
      </c>
    </row>
    <row r="14" spans="1:2">
      <c r="A14" s="6" t="s">
        <v>104</v>
      </c>
      <c r="B14" s="6">
        <v>15</v>
      </c>
    </row>
    <row r="15" spans="1:2">
      <c r="A15" s="6" t="s">
        <v>105</v>
      </c>
      <c r="B15" s="6">
        <v>3</v>
      </c>
    </row>
    <row r="16" spans="1:2">
      <c r="A16" s="6" t="s">
        <v>106</v>
      </c>
      <c r="B16" s="6">
        <v>6</v>
      </c>
    </row>
    <row r="17" spans="1:2">
      <c r="A17" s="6" t="s">
        <v>107</v>
      </c>
      <c r="B17" s="6">
        <v>5</v>
      </c>
    </row>
  </sheetData>
  <autoFilter ref="A1:B1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108</v>
      </c>
      <c r="B1" s="2" t="s">
        <v>91</v>
      </c>
    </row>
    <row r="2" spans="1:2">
      <c r="A2" s="6" t="s">
        <v>109</v>
      </c>
      <c r="B2" s="6">
        <v>1</v>
      </c>
    </row>
    <row r="3" spans="1:2">
      <c r="A3" s="6" t="s">
        <v>110</v>
      </c>
      <c r="B3" s="6">
        <v>1</v>
      </c>
    </row>
    <row r="4" spans="1:2">
      <c r="A4" s="6" t="s">
        <v>111</v>
      </c>
      <c r="B4" s="6">
        <v>1</v>
      </c>
    </row>
    <row r="5" spans="1:2">
      <c r="A5" s="6" t="s">
        <v>112</v>
      </c>
      <c r="B5" s="6">
        <v>1</v>
      </c>
    </row>
    <row r="6" spans="1:2">
      <c r="A6" s="6" t="s">
        <v>113</v>
      </c>
      <c r="B6" s="6">
        <v>1</v>
      </c>
    </row>
    <row r="7" spans="1:2">
      <c r="A7" s="6" t="s">
        <v>114</v>
      </c>
      <c r="B7" s="6">
        <v>2</v>
      </c>
    </row>
    <row r="8" spans="1:2">
      <c r="A8" s="6" t="s">
        <v>115</v>
      </c>
      <c r="B8" s="6">
        <v>6</v>
      </c>
    </row>
    <row r="9" spans="1:2">
      <c r="A9" s="6" t="s">
        <v>116</v>
      </c>
      <c r="B9" s="6">
        <v>1</v>
      </c>
    </row>
    <row r="10" spans="1:2">
      <c r="A10" s="6" t="s">
        <v>117</v>
      </c>
      <c r="B10" s="6">
        <v>1</v>
      </c>
    </row>
  </sheetData>
  <autoFilter ref="A1:B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122</v>
      </c>
      <c r="B1" s="2" t="s">
        <v>123</v>
      </c>
      <c r="C1" s="2" t="s">
        <v>124</v>
      </c>
      <c r="D1" s="2" t="s">
        <v>125</v>
      </c>
      <c r="E1" s="2" t="s">
        <v>126</v>
      </c>
    </row>
  </sheetData>
  <autoFilter ref="A1:E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127</v>
      </c>
      <c r="B1" s="2" t="s">
        <v>128</v>
      </c>
    </row>
    <row r="2" spans="1:2">
      <c r="A2" s="6" t="s">
        <v>129</v>
      </c>
      <c r="B2" s="6">
        <v>9</v>
      </c>
    </row>
    <row r="3" spans="1:2">
      <c r="A3" s="6" t="s">
        <v>130</v>
      </c>
      <c r="B3" s="6">
        <v>5</v>
      </c>
    </row>
    <row r="4" spans="1:2">
      <c r="A4" s="6" t="s">
        <v>131</v>
      </c>
      <c r="B4" s="6">
        <v>4</v>
      </c>
    </row>
    <row r="5" spans="1:2">
      <c r="A5" s="6" t="s">
        <v>132</v>
      </c>
      <c r="B5" s="6">
        <v>3</v>
      </c>
    </row>
    <row r="6" spans="1:2">
      <c r="A6" s="6" t="s">
        <v>133</v>
      </c>
      <c r="B6" s="6">
        <v>3</v>
      </c>
    </row>
    <row r="7" spans="1:2">
      <c r="A7" s="6" t="s">
        <v>134</v>
      </c>
      <c r="B7" s="6">
        <v>3</v>
      </c>
    </row>
    <row r="8" spans="1:2">
      <c r="A8" s="6" t="s">
        <v>135</v>
      </c>
      <c r="B8" s="6">
        <v>2</v>
      </c>
    </row>
    <row r="9" spans="1:2">
      <c r="A9" s="6" t="s">
        <v>136</v>
      </c>
      <c r="B9" s="6">
        <v>2</v>
      </c>
    </row>
    <row r="10" spans="1:2">
      <c r="A10" s="6" t="s">
        <v>137</v>
      </c>
      <c r="B10" s="6">
        <v>1</v>
      </c>
    </row>
    <row r="11" spans="1:2">
      <c r="A11" s="6" t="s">
        <v>138</v>
      </c>
      <c r="B11" s="6">
        <v>1</v>
      </c>
    </row>
    <row r="12" spans="1:2">
      <c r="A12" s="6" t="s">
        <v>139</v>
      </c>
      <c r="B12" s="6">
        <v>1</v>
      </c>
    </row>
    <row r="13" spans="1:2">
      <c r="A13" s="6" t="s">
        <v>140</v>
      </c>
      <c r="B13" s="6">
        <v>1</v>
      </c>
    </row>
    <row r="14" spans="1:2">
      <c r="A14" s="6" t="s">
        <v>141</v>
      </c>
      <c r="B14" s="6">
        <v>1</v>
      </c>
    </row>
  </sheetData>
  <autoFilter ref="A1:B1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142</v>
      </c>
      <c r="B1" s="2" t="s">
        <v>127</v>
      </c>
      <c r="C1" s="2" t="s">
        <v>128</v>
      </c>
    </row>
    <row r="2" spans="1:3">
      <c r="A2" s="6" t="s">
        <v>83</v>
      </c>
      <c r="B2" s="6" t="s">
        <v>131</v>
      </c>
      <c r="C2" s="6">
        <v>4</v>
      </c>
    </row>
    <row r="3" spans="1:3">
      <c r="A3" s="6" t="s">
        <v>83</v>
      </c>
      <c r="B3" s="6" t="s">
        <v>141</v>
      </c>
      <c r="C3" s="6">
        <v>1</v>
      </c>
    </row>
    <row r="4" spans="1:3">
      <c r="A4" s="6" t="s">
        <v>83</v>
      </c>
      <c r="B4" s="6" t="s">
        <v>140</v>
      </c>
      <c r="C4" s="6">
        <v>1</v>
      </c>
    </row>
    <row r="5" spans="1:3">
      <c r="A5" s="6" t="s">
        <v>83</v>
      </c>
      <c r="B5" s="6" t="s">
        <v>137</v>
      </c>
      <c r="C5" s="6">
        <v>1</v>
      </c>
    </row>
    <row r="6" spans="1:3">
      <c r="A6" s="6" t="s">
        <v>83</v>
      </c>
      <c r="B6" s="6" t="s">
        <v>139</v>
      </c>
      <c r="C6" s="6">
        <v>1</v>
      </c>
    </row>
    <row r="7" spans="1:3">
      <c r="A7" s="6" t="s">
        <v>83</v>
      </c>
      <c r="B7" s="6" t="s">
        <v>138</v>
      </c>
      <c r="C7" s="6">
        <v>1</v>
      </c>
    </row>
    <row r="8" spans="1:3">
      <c r="A8" s="6" t="s">
        <v>83</v>
      </c>
      <c r="B8" s="6" t="s">
        <v>135</v>
      </c>
      <c r="C8" s="6">
        <v>1</v>
      </c>
    </row>
    <row r="9" spans="1:3">
      <c r="A9" s="6" t="s">
        <v>83</v>
      </c>
      <c r="B9" s="6" t="s">
        <v>129</v>
      </c>
      <c r="C9" s="6">
        <v>5</v>
      </c>
    </row>
    <row r="10" spans="1:3">
      <c r="A10" s="6" t="s">
        <v>77</v>
      </c>
      <c r="B10" s="6" t="s">
        <v>135</v>
      </c>
      <c r="C10" s="6">
        <v>1</v>
      </c>
    </row>
    <row r="11" spans="1:3">
      <c r="A11" s="6" t="s">
        <v>77</v>
      </c>
      <c r="B11" s="6" t="s">
        <v>136</v>
      </c>
      <c r="C11" s="6">
        <v>2</v>
      </c>
    </row>
    <row r="12" spans="1:3">
      <c r="A12" s="6" t="s">
        <v>49</v>
      </c>
      <c r="B12" s="6" t="s">
        <v>129</v>
      </c>
      <c r="C12" s="6">
        <v>2</v>
      </c>
    </row>
    <row r="13" spans="1:3">
      <c r="A13" s="6" t="s">
        <v>49</v>
      </c>
      <c r="B13" s="6" t="s">
        <v>132</v>
      </c>
      <c r="C13" s="6">
        <v>1</v>
      </c>
    </row>
    <row r="14" spans="1:3">
      <c r="A14" s="6" t="s">
        <v>49</v>
      </c>
      <c r="B14" s="6" t="s">
        <v>133</v>
      </c>
      <c r="C14" s="6">
        <v>2</v>
      </c>
    </row>
    <row r="15" spans="1:3">
      <c r="A15" s="6" t="s">
        <v>49</v>
      </c>
      <c r="B15" s="6" t="s">
        <v>130</v>
      </c>
      <c r="C15" s="6">
        <v>1</v>
      </c>
    </row>
    <row r="16" spans="1:3">
      <c r="A16" s="6" t="s">
        <v>49</v>
      </c>
      <c r="B16" s="6" t="s">
        <v>134</v>
      </c>
      <c r="C16" s="6">
        <v>2</v>
      </c>
    </row>
    <row r="17" spans="1:3">
      <c r="A17" s="6" t="s">
        <v>73</v>
      </c>
      <c r="B17" s="6" t="s">
        <v>130</v>
      </c>
      <c r="C17" s="6">
        <v>1</v>
      </c>
    </row>
    <row r="18" spans="1:3">
      <c r="A18" s="6" t="s">
        <v>73</v>
      </c>
      <c r="B18" s="6" t="s">
        <v>132</v>
      </c>
      <c r="C18" s="6">
        <v>1</v>
      </c>
    </row>
    <row r="19" spans="1:3">
      <c r="A19" s="6" t="s">
        <v>63</v>
      </c>
      <c r="B19" s="6" t="s">
        <v>129</v>
      </c>
      <c r="C19" s="6">
        <v>1</v>
      </c>
    </row>
    <row r="20" spans="1:3">
      <c r="A20" s="6" t="s">
        <v>63</v>
      </c>
      <c r="B20" s="6" t="s">
        <v>130</v>
      </c>
      <c r="C20" s="6">
        <v>1</v>
      </c>
    </row>
    <row r="21" spans="1:3">
      <c r="A21" s="6" t="s">
        <v>57</v>
      </c>
      <c r="B21" s="6" t="s">
        <v>129</v>
      </c>
      <c r="C21" s="6">
        <v>1</v>
      </c>
    </row>
    <row r="22" spans="1:3">
      <c r="A22" s="6" t="s">
        <v>57</v>
      </c>
      <c r="B22" s="6" t="s">
        <v>130</v>
      </c>
      <c r="C22" s="6">
        <v>1</v>
      </c>
    </row>
    <row r="23" spans="1:3">
      <c r="A23" s="6" t="s">
        <v>67</v>
      </c>
      <c r="B23" s="6" t="s">
        <v>134</v>
      </c>
      <c r="C23" s="6">
        <v>1</v>
      </c>
    </row>
    <row r="24" spans="1:3">
      <c r="A24" s="6" t="s">
        <v>67</v>
      </c>
      <c r="B24" s="6" t="s">
        <v>130</v>
      </c>
      <c r="C24" s="6">
        <v>1</v>
      </c>
    </row>
    <row r="25" spans="1:3">
      <c r="A25" s="6" t="s">
        <v>67</v>
      </c>
      <c r="B25" s="6" t="s">
        <v>133</v>
      </c>
      <c r="C25" s="6">
        <v>1</v>
      </c>
    </row>
    <row r="26" spans="1:3">
      <c r="A26" s="6" t="s">
        <v>67</v>
      </c>
      <c r="B26" s="6" t="s">
        <v>132</v>
      </c>
      <c r="C26" s="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cols>
    <col min="1" max="1" width="80.7109375" customWidth="1"/>
    <col min="2" max="14" width="15.7109375" customWidth="1"/>
  </cols>
  <sheetData>
    <row r="1" spans="1:14">
      <c r="A1" s="2" t="s">
        <v>142</v>
      </c>
      <c r="B1" s="7" t="s">
        <v>129</v>
      </c>
      <c r="C1" s="7" t="s">
        <v>130</v>
      </c>
      <c r="D1" s="7" t="s">
        <v>131</v>
      </c>
      <c r="E1" s="7" t="s">
        <v>132</v>
      </c>
      <c r="F1" s="7" t="s">
        <v>133</v>
      </c>
      <c r="G1" s="7" t="s">
        <v>134</v>
      </c>
      <c r="H1" s="7" t="s">
        <v>135</v>
      </c>
      <c r="I1" s="7" t="s">
        <v>136</v>
      </c>
      <c r="J1" s="7" t="s">
        <v>137</v>
      </c>
      <c r="K1" s="7" t="s">
        <v>138</v>
      </c>
      <c r="L1" s="7" t="s">
        <v>139</v>
      </c>
      <c r="M1" s="7" t="s">
        <v>140</v>
      </c>
      <c r="N1" s="7" t="s">
        <v>141</v>
      </c>
    </row>
    <row r="2" spans="1:14">
      <c r="A2" s="6" t="s">
        <v>83</v>
      </c>
      <c r="B2" s="6">
        <v>5</v>
      </c>
      <c r="D2" s="6">
        <v>4</v>
      </c>
      <c r="H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</row>
    <row r="3" spans="1:14">
      <c r="A3" s="6" t="s">
        <v>77</v>
      </c>
      <c r="H3" s="6">
        <v>1</v>
      </c>
      <c r="I3" s="6">
        <v>2</v>
      </c>
    </row>
    <row r="4" spans="1:14">
      <c r="A4" s="6" t="s">
        <v>49</v>
      </c>
      <c r="B4" s="6">
        <v>2</v>
      </c>
      <c r="C4" s="6">
        <v>1</v>
      </c>
      <c r="E4" s="6">
        <v>1</v>
      </c>
      <c r="F4" s="6">
        <v>2</v>
      </c>
      <c r="G4" s="6">
        <v>2</v>
      </c>
    </row>
    <row r="5" spans="1:14">
      <c r="A5" s="6" t="s">
        <v>73</v>
      </c>
      <c r="C5" s="6">
        <v>1</v>
      </c>
      <c r="E5" s="6">
        <v>1</v>
      </c>
    </row>
    <row r="6" spans="1:14">
      <c r="A6" s="6" t="s">
        <v>63</v>
      </c>
      <c r="B6" s="6">
        <v>1</v>
      </c>
      <c r="C6" s="6">
        <v>1</v>
      </c>
    </row>
    <row r="7" spans="1:14">
      <c r="A7" s="6" t="s">
        <v>57</v>
      </c>
      <c r="B7" s="6">
        <v>1</v>
      </c>
      <c r="C7" s="6">
        <v>1</v>
      </c>
    </row>
    <row r="8" spans="1:14">
      <c r="A8" s="6" t="s">
        <v>67</v>
      </c>
      <c r="C8" s="6">
        <v>1</v>
      </c>
      <c r="E8" s="6">
        <v>1</v>
      </c>
      <c r="F8" s="6">
        <v>1</v>
      </c>
      <c r="G8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7" width="10.7109375" customWidth="1"/>
  </cols>
  <sheetData>
    <row r="1" spans="1:7">
      <c r="A1" s="7" t="s">
        <v>143</v>
      </c>
      <c r="B1" s="7" t="s">
        <v>144</v>
      </c>
      <c r="C1" s="7" t="s">
        <v>145</v>
      </c>
      <c r="D1" s="7" t="s">
        <v>146</v>
      </c>
      <c r="E1" s="7" t="s">
        <v>147</v>
      </c>
      <c r="F1" s="7" t="s">
        <v>148</v>
      </c>
      <c r="G1" s="7" t="s">
        <v>149</v>
      </c>
    </row>
    <row r="2" spans="1:7">
      <c r="A2" s="6" t="s">
        <v>150</v>
      </c>
      <c r="B2" s="8">
        <v>1</v>
      </c>
      <c r="C2" s="8">
        <v>1</v>
      </c>
      <c r="D2" s="8">
        <v>1</v>
      </c>
    </row>
    <row r="3" spans="1:7">
      <c r="A3" s="6" t="s">
        <v>151</v>
      </c>
      <c r="B3" s="8">
        <v>1</v>
      </c>
      <c r="C3" s="8">
        <v>2</v>
      </c>
      <c r="D3" s="8">
        <v>1</v>
      </c>
    </row>
    <row r="4" spans="1:7">
      <c r="A4" s="6" t="s">
        <v>152</v>
      </c>
      <c r="B4" s="8">
        <v>1</v>
      </c>
      <c r="C4" s="8">
        <v>3</v>
      </c>
      <c r="D4" s="8">
        <v>1</v>
      </c>
    </row>
    <row r="5" spans="1:7">
      <c r="A5" s="6" t="s">
        <v>153</v>
      </c>
      <c r="B5" s="8">
        <v>1</v>
      </c>
    </row>
    <row r="6" spans="1:7">
      <c r="A6" s="6" t="s">
        <v>154</v>
      </c>
      <c r="B6" s="8">
        <v>1</v>
      </c>
    </row>
    <row r="7" spans="1:7">
      <c r="A7" s="6" t="s">
        <v>155</v>
      </c>
      <c r="B7" s="8">
        <v>1</v>
      </c>
    </row>
    <row r="8" spans="1:7">
      <c r="A8" s="6" t="s">
        <v>156</v>
      </c>
      <c r="B8" s="8">
        <v>1</v>
      </c>
    </row>
    <row r="9" spans="1:7">
      <c r="A9" s="6" t="s">
        <v>157</v>
      </c>
      <c r="B9" s="8">
        <v>1</v>
      </c>
    </row>
    <row r="10" spans="1:7">
      <c r="A10" s="6" t="s">
        <v>158</v>
      </c>
      <c r="D10" s="8">
        <v>2</v>
      </c>
    </row>
  </sheetData>
  <autoFilter ref="A1:G1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10" width="30.7109375" customWidth="1"/>
  </cols>
  <sheetData>
    <row r="1" spans="1:10">
      <c r="B1" s="7" t="s">
        <v>150</v>
      </c>
      <c r="C1" s="7" t="s">
        <v>151</v>
      </c>
      <c r="D1" s="7" t="s">
        <v>152</v>
      </c>
      <c r="E1" s="7" t="s">
        <v>153</v>
      </c>
      <c r="F1" s="7" t="s">
        <v>154</v>
      </c>
      <c r="G1" s="7" t="s">
        <v>155</v>
      </c>
      <c r="H1" s="7" t="s">
        <v>156</v>
      </c>
      <c r="I1" s="7" t="s">
        <v>157</v>
      </c>
      <c r="J1" s="7" t="s">
        <v>158</v>
      </c>
    </row>
    <row r="2" spans="1:10">
      <c r="A2" s="2" t="s">
        <v>49</v>
      </c>
      <c r="E2" s="8" t="s">
        <v>159</v>
      </c>
    </row>
    <row r="3" spans="1:10">
      <c r="A3" s="2" t="s">
        <v>57</v>
      </c>
      <c r="H3" s="8" t="s">
        <v>159</v>
      </c>
    </row>
    <row r="4" spans="1:10">
      <c r="A4" s="2" t="s">
        <v>63</v>
      </c>
      <c r="I4" s="8" t="s">
        <v>159</v>
      </c>
    </row>
    <row r="5" spans="1:10">
      <c r="A5" s="2" t="s">
        <v>67</v>
      </c>
      <c r="G5" s="8" t="s">
        <v>159</v>
      </c>
    </row>
    <row r="6" spans="1:10">
      <c r="A6" s="2" t="s">
        <v>73</v>
      </c>
      <c r="F6" s="8" t="s">
        <v>159</v>
      </c>
    </row>
    <row r="7" spans="1:10">
      <c r="A7" s="2" t="s">
        <v>77</v>
      </c>
      <c r="B7" s="8" t="s">
        <v>160</v>
      </c>
      <c r="D7" s="8" t="s">
        <v>161</v>
      </c>
    </row>
    <row r="8" spans="1:10">
      <c r="A8" s="2" t="s">
        <v>83</v>
      </c>
      <c r="C8" s="8" t="s">
        <v>162</v>
      </c>
      <c r="J8" s="8" t="s">
        <v>163</v>
      </c>
    </row>
  </sheetData>
  <autoFilter ref="A1:J8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4" width="30.7109375" customWidth="1"/>
  </cols>
  <sheetData>
    <row r="1" spans="1:4">
      <c r="A1" s="7" t="s">
        <v>164</v>
      </c>
      <c r="B1" s="7" t="s">
        <v>165</v>
      </c>
      <c r="C1" s="7" t="s">
        <v>166</v>
      </c>
      <c r="D1" s="7" t="s">
        <v>167</v>
      </c>
    </row>
    <row r="2" spans="1:4">
      <c r="A2" s="6" t="s">
        <v>49</v>
      </c>
      <c r="B2" s="6" t="s">
        <v>153</v>
      </c>
      <c r="C2" s="6" t="s">
        <v>144</v>
      </c>
      <c r="D2" s="6">
        <v>1</v>
      </c>
    </row>
    <row r="3" spans="1:4">
      <c r="A3" s="6" t="s">
        <v>57</v>
      </c>
      <c r="B3" s="6" t="s">
        <v>156</v>
      </c>
      <c r="C3" s="6" t="s">
        <v>144</v>
      </c>
      <c r="D3" s="6">
        <v>1</v>
      </c>
    </row>
    <row r="4" spans="1:4">
      <c r="A4" s="6" t="s">
        <v>63</v>
      </c>
      <c r="B4" s="6" t="s">
        <v>157</v>
      </c>
      <c r="C4" s="6" t="s">
        <v>144</v>
      </c>
      <c r="D4" s="6">
        <v>1</v>
      </c>
    </row>
    <row r="5" spans="1:4">
      <c r="A5" s="6" t="s">
        <v>67</v>
      </c>
      <c r="B5" s="6" t="s">
        <v>155</v>
      </c>
      <c r="C5" s="6" t="s">
        <v>144</v>
      </c>
      <c r="D5" s="6">
        <v>1</v>
      </c>
    </row>
    <row r="6" spans="1:4">
      <c r="A6" s="6" t="s">
        <v>73</v>
      </c>
      <c r="B6" s="6" t="s">
        <v>154</v>
      </c>
      <c r="C6" s="6" t="s">
        <v>144</v>
      </c>
      <c r="D6" s="6">
        <v>1</v>
      </c>
    </row>
    <row r="7" spans="1:4">
      <c r="A7" s="6" t="s">
        <v>77</v>
      </c>
      <c r="B7" s="6" t="s">
        <v>150</v>
      </c>
      <c r="C7" s="6" t="s">
        <v>144</v>
      </c>
      <c r="D7" s="6">
        <v>1</v>
      </c>
    </row>
    <row r="8" spans="1:4">
      <c r="A8" s="6" t="s">
        <v>77</v>
      </c>
      <c r="B8" s="6" t="s">
        <v>150</v>
      </c>
      <c r="C8" s="6" t="s">
        <v>145</v>
      </c>
      <c r="D8" s="6">
        <v>1</v>
      </c>
    </row>
    <row r="9" spans="1:4">
      <c r="A9" s="6" t="s">
        <v>77</v>
      </c>
      <c r="B9" s="6" t="s">
        <v>150</v>
      </c>
      <c r="C9" s="6" t="s">
        <v>146</v>
      </c>
      <c r="D9" s="6">
        <v>1</v>
      </c>
    </row>
    <row r="10" spans="1:4">
      <c r="A10" s="6" t="s">
        <v>77</v>
      </c>
      <c r="B10" s="6" t="s">
        <v>152</v>
      </c>
      <c r="C10" s="6" t="s">
        <v>144</v>
      </c>
      <c r="D10" s="6">
        <v>1</v>
      </c>
    </row>
    <row r="11" spans="1:4">
      <c r="A11" s="6" t="s">
        <v>77</v>
      </c>
      <c r="B11" s="6" t="s">
        <v>152</v>
      </c>
      <c r="C11" s="6" t="s">
        <v>145</v>
      </c>
      <c r="D11" s="6">
        <v>3</v>
      </c>
    </row>
    <row r="12" spans="1:4">
      <c r="A12" s="6" t="s">
        <v>77</v>
      </c>
      <c r="B12" s="6" t="s">
        <v>152</v>
      </c>
      <c r="C12" s="6" t="s">
        <v>146</v>
      </c>
      <c r="D12" s="6">
        <v>1</v>
      </c>
    </row>
    <row r="13" spans="1:4">
      <c r="A13" s="6" t="s">
        <v>83</v>
      </c>
      <c r="B13" s="6" t="s">
        <v>151</v>
      </c>
      <c r="C13" s="6" t="s">
        <v>144</v>
      </c>
      <c r="D13" s="6">
        <v>1</v>
      </c>
    </row>
    <row r="14" spans="1:4">
      <c r="A14" s="6" t="s">
        <v>83</v>
      </c>
      <c r="B14" s="6" t="s">
        <v>151</v>
      </c>
      <c r="C14" s="6" t="s">
        <v>145</v>
      </c>
      <c r="D14" s="6">
        <v>2</v>
      </c>
    </row>
    <row r="15" spans="1:4">
      <c r="A15" s="6" t="s">
        <v>83</v>
      </c>
      <c r="B15" s="6" t="s">
        <v>151</v>
      </c>
      <c r="C15" s="6" t="s">
        <v>146</v>
      </c>
      <c r="D15" s="6">
        <v>1</v>
      </c>
    </row>
    <row r="16" spans="1:4">
      <c r="A16" s="6" t="s">
        <v>83</v>
      </c>
      <c r="B16" s="6" t="s">
        <v>158</v>
      </c>
      <c r="C16" s="6" t="s">
        <v>146</v>
      </c>
      <c r="D16" s="6">
        <v>2</v>
      </c>
    </row>
  </sheetData>
  <autoFilter ref="A1:D16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3" width="30.7109375" customWidth="1"/>
  </cols>
  <sheetData>
    <row r="1" spans="1:3">
      <c r="A1" s="7" t="s">
        <v>164</v>
      </c>
      <c r="B1" s="7" t="s">
        <v>168</v>
      </c>
      <c r="C1" s="7" t="s">
        <v>167</v>
      </c>
    </row>
    <row r="2" spans="1:3">
      <c r="A2" s="6" t="s">
        <v>83</v>
      </c>
      <c r="B2" s="6" t="s">
        <v>169</v>
      </c>
      <c r="C2" s="6">
        <v>5</v>
      </c>
    </row>
    <row r="3" spans="1:3">
      <c r="A3" s="6" t="s">
        <v>83</v>
      </c>
      <c r="B3" s="6" t="s">
        <v>170</v>
      </c>
      <c r="C3" s="6">
        <v>3</v>
      </c>
    </row>
    <row r="4" spans="1:3">
      <c r="A4" s="6" t="s">
        <v>83</v>
      </c>
      <c r="B4" s="6" t="s">
        <v>171</v>
      </c>
      <c r="C4" s="6">
        <v>9</v>
      </c>
    </row>
    <row r="5" spans="1:3">
      <c r="A5" s="6" t="s">
        <v>83</v>
      </c>
      <c r="B5" s="6" t="s">
        <v>172</v>
      </c>
      <c r="C5" s="6">
        <v>1</v>
      </c>
    </row>
    <row r="6" spans="1:3">
      <c r="A6" s="6" t="s">
        <v>83</v>
      </c>
      <c r="B6" s="6" t="s">
        <v>173</v>
      </c>
      <c r="C6" s="6">
        <v>4</v>
      </c>
    </row>
    <row r="7" spans="1:3">
      <c r="A7" s="6" t="s">
        <v>83</v>
      </c>
      <c r="B7" s="6" t="s">
        <v>174</v>
      </c>
      <c r="C7" s="6">
        <v>2</v>
      </c>
    </row>
    <row r="8" spans="1:3">
      <c r="A8" s="6" t="s">
        <v>83</v>
      </c>
      <c r="B8" s="6" t="s">
        <v>175</v>
      </c>
      <c r="C8" s="6">
        <v>7</v>
      </c>
    </row>
    <row r="9" spans="1:3">
      <c r="A9" s="6" t="s">
        <v>83</v>
      </c>
      <c r="B9" s="6" t="s">
        <v>176</v>
      </c>
      <c r="C9" s="6">
        <v>3</v>
      </c>
    </row>
    <row r="10" spans="1:3">
      <c r="A10" s="6" t="s">
        <v>83</v>
      </c>
      <c r="B10" s="6" t="s">
        <v>177</v>
      </c>
      <c r="C10" s="6">
        <v>1</v>
      </c>
    </row>
    <row r="11" spans="1:3">
      <c r="A11" s="6" t="s">
        <v>83</v>
      </c>
      <c r="B11" s="6" t="s">
        <v>178</v>
      </c>
      <c r="C11" s="6">
        <v>1</v>
      </c>
    </row>
    <row r="12" spans="1:3">
      <c r="A12" s="6" t="s">
        <v>83</v>
      </c>
      <c r="B12" s="6" t="s">
        <v>179</v>
      </c>
      <c r="C12" s="6">
        <v>3</v>
      </c>
    </row>
    <row r="13" spans="1:3">
      <c r="A13" s="6" t="s">
        <v>83</v>
      </c>
      <c r="B13" s="6" t="s">
        <v>180</v>
      </c>
      <c r="C13" s="6">
        <v>9</v>
      </c>
    </row>
    <row r="14" spans="1:3">
      <c r="A14" s="6" t="s">
        <v>83</v>
      </c>
      <c r="B14" s="6" t="s">
        <v>181</v>
      </c>
      <c r="C14" s="6">
        <v>5</v>
      </c>
    </row>
    <row r="15" spans="1:3">
      <c r="A15" s="6" t="s">
        <v>83</v>
      </c>
      <c r="B15" s="6" t="s">
        <v>182</v>
      </c>
      <c r="C15" s="6">
        <v>1</v>
      </c>
    </row>
  </sheetData>
  <autoFilter ref="A1:C1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183</v>
      </c>
      <c r="B1" s="2" t="s">
        <v>91</v>
      </c>
    </row>
    <row r="2" spans="1:2">
      <c r="A2" s="6" t="s">
        <v>184</v>
      </c>
      <c r="B2" s="6">
        <v>1</v>
      </c>
    </row>
    <row r="3" spans="1:2">
      <c r="A3" s="6" t="s">
        <v>185</v>
      </c>
      <c r="B3" s="6">
        <v>1</v>
      </c>
    </row>
    <row r="4" spans="1:2">
      <c r="A4" s="6" t="s">
        <v>186</v>
      </c>
      <c r="B4" s="6">
        <v>4</v>
      </c>
    </row>
    <row r="5" spans="1:2">
      <c r="A5" s="6" t="s">
        <v>187</v>
      </c>
      <c r="B5" s="6">
        <v>1</v>
      </c>
    </row>
    <row r="6" spans="1:2">
      <c r="A6" s="6" t="s">
        <v>188</v>
      </c>
      <c r="B6" s="6">
        <v>1</v>
      </c>
    </row>
    <row r="7" spans="1:2">
      <c r="A7" s="6" t="s">
        <v>189</v>
      </c>
      <c r="B7" s="6">
        <v>2</v>
      </c>
    </row>
    <row r="8" spans="1:2">
      <c r="A8" s="6" t="s">
        <v>190</v>
      </c>
      <c r="B8" s="6">
        <v>7</v>
      </c>
    </row>
    <row r="9" spans="1:2">
      <c r="A9" s="6" t="s">
        <v>191</v>
      </c>
      <c r="B9" s="6">
        <v>1</v>
      </c>
    </row>
    <row r="10" spans="1:2">
      <c r="A10" s="6" t="s">
        <v>134</v>
      </c>
      <c r="B10" s="6">
        <v>3</v>
      </c>
    </row>
    <row r="11" spans="1:2">
      <c r="A11" s="6" t="s">
        <v>192</v>
      </c>
      <c r="B11" s="6">
        <v>5</v>
      </c>
    </row>
    <row r="12" spans="1:2">
      <c r="A12" s="6" t="s">
        <v>193</v>
      </c>
      <c r="B12" s="6">
        <v>1</v>
      </c>
    </row>
    <row r="13" spans="1:2">
      <c r="A13" s="6" t="s">
        <v>194</v>
      </c>
      <c r="B13" s="6">
        <v>8</v>
      </c>
    </row>
    <row r="14" spans="1:2">
      <c r="A14" s="6" t="s">
        <v>195</v>
      </c>
      <c r="B14" s="6">
        <v>2</v>
      </c>
    </row>
    <row r="15" spans="1:2">
      <c r="A15" s="6" t="s">
        <v>129</v>
      </c>
      <c r="B15" s="6">
        <v>7</v>
      </c>
    </row>
    <row r="16" spans="1:2">
      <c r="A16" s="6" t="s">
        <v>140</v>
      </c>
      <c r="B16" s="6">
        <v>1</v>
      </c>
    </row>
    <row r="17" spans="1:2">
      <c r="A17" s="6" t="s">
        <v>196</v>
      </c>
      <c r="B17" s="6">
        <v>7</v>
      </c>
    </row>
  </sheetData>
  <autoFilter ref="A1:B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SQL Programs</vt:lpstr>
      <vt:lpstr>SQL Script Categories</vt:lpstr>
      <vt:lpstr>UNKNOWN SQL Category</vt:lpstr>
      <vt:lpstr>SQL Special Patterns</vt:lpstr>
      <vt:lpstr>Functions</vt:lpstr>
      <vt:lpstr>Functions by Script</vt:lpstr>
      <vt:lpstr>Scripts Functions Xref</vt:lpstr>
      <vt:lpstr>Referenced Objects</vt:lpstr>
      <vt:lpstr>Program-Object Xref</vt:lpstr>
      <vt:lpstr>RAW_PROGRAM_OBJECT_XREF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2026-04-21T02:10:11Z</dcterms:created>
  <dcterms:modified xsi:type="dcterms:W3CDTF">2026-04-21T02:10:11Z</dcterms:modified>
</cp:coreProperties>
</file>